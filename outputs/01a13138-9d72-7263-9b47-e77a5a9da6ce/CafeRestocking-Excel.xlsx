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314a96d85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ock" sheetId="1" r:id="Rcdd76b5b61df46fe"/>
    <x:sheet xmlns:r="http://schemas.openxmlformats.org/officeDocument/2006/relationships" name="Inputs" sheetId="2" r:id="Rfe7fdd9ca64143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0.00"/>
    <x:numFmt numFmtId="201" formatCode="$#,##0.00"/>
  </x:numFmts>
  <x:fonts count="7">
    <x:font>
      <x:sz val="11"/>
      <x:name val="Carlito"/>
    </x:font>
    <x:font>
      <x:sz val="10"/>
      <x:color rgb="FF233444"/>
      <x:name val="Arial"/>
    </x:font>
    <x:font>
      <x:b/>
      <x:sz val="15"/>
      <x:color rgb="FF173D48"/>
      <x:name val="Arial"/>
    </x:font>
    <x:font>
      <x:sz val="10"/>
      <x:color rgb="FF687887"/>
      <x:name val="Arial"/>
    </x:font>
    <x:font>
      <x:b/>
      <x:sz val="10"/>
      <x:color rgb="FFFFFFFF"/>
      <x:name val="Arial"/>
    </x:font>
    <x:font>
      <x:sz val="10"/>
      <x:color rgb="FF245BB2"/>
      <x:name val="Arial"/>
    </x:font>
    <x:font>
      <x:b/>
      <x:sz val="10"/>
      <x:color rgb="FF23344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D48"/>
      </x:patternFill>
    </x:fill>
    <x:fill>
      <x:patternFill patternType="solid">
        <x:fgColor rgb="FFF0F5FA"/>
      </x:patternFill>
    </x:fill>
    <x:fill>
      <x:patternFill patternType="solid">
        <x:fgColor rgb="FFE5F2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E5F2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89d7957c1454d" /><Relationship Type="http://schemas.openxmlformats.org/officeDocument/2006/relationships/theme" Target="/xl/theme/theme1.xml" Id="Rb9f6ab6982184633" /><Relationship Type="http://schemas.openxmlformats.org/officeDocument/2006/relationships/sharedStrings" Target="/xl/sharedStrings.xml" Id="R68e9fb6774d3469f" /><Relationship Type="http://schemas.openxmlformats.org/officeDocument/2006/relationships/worksheet" Target="/xl/worksheets/sheet1.xml" Id="Rcdd76b5b61df46fe" /><Relationship Type="http://schemas.openxmlformats.org/officeDocument/2006/relationships/worksheet" Target="/xl/worksheets/sheet2.xml" Id="Rfe7fdd9ca641433c" /></Relationships>
</file>

<file path=xl/tables/table1.xml><?xml version="1.0" encoding="utf-8"?>
<x:table xmlns:x="http://schemas.openxmlformats.org/spreadsheetml/2006/main" id="4" name="OrderCalculation" displayName="OrderCalculation" ref="A12:J18" headerRowCount="1" totalsRowCount="0" totalsRowShown="0">
  <x:tableColumns count="10">
    <x:tableColumn id="1" name="Product ID"/>
    <x:tableColumn id="2" name="Product"/>
    <x:tableColumn id="3" name="Supplier"/>
    <x:tableColumn id="4" name="Stock"/>
    <x:tableColumn id="5" name="Reorder"/>
    <x:tableColumn id="6" name="Target"/>
    <x:tableColumn id="7" name="Policy"/>
    <x:tableColumn id="8" name="Unit $"/>
    <x:tableColumn id="9" name="Order units"/>
    <x:tableColumn id="10" name="Order $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atalogInputs" displayName="CatalogInputs" ref="A5:G11" headerRowCount="1" totalsRowCount="0" totalsRowShown="0">
  <x:tableColumns count="7">
    <x:tableColumn id="1" name="Product ID"/>
    <x:tableColumn id="2" name="Product"/>
    <x:tableColumn id="3" name="Supplier ID"/>
    <x:tableColumn id="4" name="Cost cents"/>
    <x:tableColumn id="5" name="Reorder"/>
    <x:tableColumn id="6" name="Target"/>
    <x:tableColumn id="7" name="Polic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tockInputs" displayName="StockInputs" ref="A16:B22" headerRowCount="1" totalsRowCount="0" totalsRowShown="0">
  <x:tableColumns count="2">
    <x:tableColumn id="1" name="Product ID"/>
    <x:tableColumn id="2" name="On han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upplierInputs" displayName="SupplierInputs" ref="D16:F19" headerRowCount="1" totalsRowCount="0" totalsRowShown="0">
  <x:tableColumns count="3">
    <x:tableColumn id="1" name="Supplier ID"/>
    <x:tableColumn id="2" name="Supplier"/>
    <x:tableColumn id="3" name="Lead 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705190a87245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f4e8d8bd2b4170" /><Relationship Type="http://schemas.openxmlformats.org/officeDocument/2006/relationships/table" Target="/xl/tables/table3.xml" Id="R87bdd9f69a044953" /><Relationship Type="http://schemas.openxmlformats.org/officeDocument/2006/relationships/table" Target="/xl/tables/table4.xml" Id="R316db51f09fd4b2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0" hidden="0" customWidth="1"/>
    <x:col min="2" max="2" width="23" hidden="0" customWidth="1"/>
    <x:col min="3" max="3" width="21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3" t="str">
        <x:v>Café restocking · Excel baseline</x:v>
      </x:c>
      <x:c r="B1" s="3" t="str">
        <x:v>Café restocking · Excel baseline</x:v>
      </x:c>
      <x:c r="C1" s="3" t="str">
        <x:v>Café restocking · Excel baseline</x:v>
      </x:c>
      <x:c r="D1" s="3" t="str">
        <x:v>Café restocking · Excel baseline</x:v>
      </x:c>
      <x:c r="E1" s="3" t="str">
        <x:v>Café restocking · Excel baseline</x:v>
      </x:c>
      <x:c r="F1" s="3" t="str">
        <x:v>Café restocking · Excel baseline</x:v>
      </x:c>
      <x:c r="G1" s="3" t="str">
        <x:v>Café restocking · Excel baseline</x:v>
      </x:c>
      <x:c r="H1" s="3" t="str">
        <x:v>Café restocking · Excel baseline</x:v>
      </x:c>
      <x:c r="I1" s="3" t="str">
        <x:v>Café restocking · Excel baseline</x:v>
      </x:c>
      <x:c r="J1" s="3" t="str">
        <x:v>Café restocking · Excel baseline</x:v>
      </x:c>
    </x:row>
    <x:row r="2" ht="24" customHeight="1">
      <x:c r="A2" s="4" t="str">
        <x:v>Synthetic data · edit blue inputs on Inputs · dollars displayed from integer cents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0" customHeight="1">
      <x:c r="A4" s="7" t="str">
        <x:v>Supplier ID</x:v>
      </x:c>
      <x:c r="B4" s="7" t="str">
        <x:v>Supplier</x:v>
      </x:c>
      <x:c r="C4" s="7" t="str">
        <x:v>Units</x:v>
      </x:c>
      <x:c r="D4" s="7" t="str">
        <x:v>Lines</x:v>
      </x:c>
      <x:c r="E4" s="7" t="str">
        <x:v>Spend</x:v>
      </x:c>
      <x:c r="F4" s="2"/>
      <x:c r="G4" s="2"/>
      <x:c r="H4" s="2"/>
      <x:c r="I4" s="7" t="str">
        <x:v>Purchase plan</x:v>
      </x:c>
      <x:c r="J4" s="7" t="str">
        <x:v>Total</x:v>
      </x:c>
    </x:row>
    <x:row r="5" ht="24" customHeight="1">
      <x:c r="A5" s="2" t="n">
        <x:f>Inputs!D17</x:f>
        <x:v>10</x:v>
      </x:c>
      <x:c r="B5" s="2" t="str">
        <x:f>Inputs!E17</x:f>
        <x:v>North Roastery</x:v>
      </x:c>
      <x:c r="C5" s="2" t="n">
        <x:f>SUMIF(Inputs!$C$6:$C$11,A5,$I$13:$I$18)</x:f>
        <x:v>20</x:v>
      </x:c>
      <x:c r="D5" s="2" t="n">
        <x:f>COUNTIFS(Inputs!$C$6:$C$11,A5,$I$13:$I$18,"&gt;0")</x:f>
        <x:v>1</x:v>
      </x:c>
      <x:c r="E5" s="12" t="n">
        <x:f>SUMIF(Inputs!$C$6:$C$11,A5,$J$13:$J$18)</x:f>
        <x:v>185</x:v>
      </x:c>
      <x:c r="F5" s="2"/>
      <x:c r="G5" s="2"/>
      <x:c r="H5" s="2"/>
      <x:c r="I5" s="14" t="str">
        <x:v>Spend</x:v>
      </x:c>
      <x:c r="J5" s="16" t="n">
        <x:f>SUM(J13:J18)</x:f>
        <x:v>312.1</x:v>
      </x:c>
    </x:row>
    <x:row r="6" ht="24" customHeight="1">
      <x:c r="A6" s="2" t="n">
        <x:f>Inputs!D18</x:f>
        <x:v>20</x:v>
      </x:c>
      <x:c r="B6" s="2" t="str">
        <x:f>Inputs!E18</x:f>
        <x:v>Leaf House</x:v>
      </x:c>
      <x:c r="C6" s="2" t="n">
        <x:f>SUMIF(Inputs!$C$6:$C$11,A6,$I$13:$I$18)</x:f>
        <x:v>16</x:v>
      </x:c>
      <x:c r="D6" s="2" t="n">
        <x:f>COUNTIFS(Inputs!$C$6:$C$11,A6,$I$13:$I$18,"&gt;0")</x:f>
        <x:v>1</x:v>
      </x:c>
      <x:c r="E6" s="12" t="n">
        <x:f>SUMIF(Inputs!$C$6:$C$11,A6,$J$13:$J$18)</x:f>
        <x:v>49.6</x:v>
      </x:c>
      <x:c r="F6" s="2"/>
      <x:c r="G6" s="2"/>
      <x:c r="H6" s="2"/>
      <x:c r="I6" s="14" t="str">
        <x:v>Units</x:v>
      </x:c>
      <x:c r="J6" s="17" t="n">
        <x:f>SUM(I13:I18)</x:f>
        <x:v>67</x:v>
      </x:c>
    </x:row>
    <x:row r="7" ht="24" customHeight="1">
      <x:c r="A7" s="2" t="n">
        <x:f>Inputs!D19</x:f>
        <x:v>30</x:v>
      </x:c>
      <x:c r="B7" s="2" t="str">
        <x:f>Inputs!E19</x:f>
        <x:v>Pantry Co</x:v>
      </x:c>
      <x:c r="C7" s="2" t="n">
        <x:f>SUMIF(Inputs!$C$6:$C$11,A7,$I$13:$I$18)</x:f>
        <x:v>31</x:v>
      </x:c>
      <x:c r="D7" s="2" t="n">
        <x:f>COUNTIFS(Inputs!$C$6:$C$11,A7,$I$13:$I$18,"&gt;0")</x:f>
        <x:v>1</x:v>
      </x:c>
      <x:c r="E7" s="12" t="n">
        <x:f>SUMIF(Inputs!$C$6:$C$11,A7,$J$13:$J$18)</x:f>
        <x:v>77.5</x:v>
      </x:c>
      <x:c r="F7" s="2"/>
      <x:c r="G7" s="2"/>
      <x:c r="H7" s="2"/>
      <x:c r="I7" s="14" t="str">
        <x:v>Order lines</x:v>
      </x:c>
      <x:c r="J7" s="17" t="n">
        <x:f>COUNTIF(I13:I18,"&gt;0")</x:f>
        <x:v>3</x:v>
      </x:c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24" customHeight="1">
      <x:c r="A10" s="4" t="str">
        <x:v>Order active products below the reorder point up to target stock; paused products stay at zero.</x:v>
      </x:c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0" customHeight="1">
      <x:c r="A12" s="7" t="str">
        <x:v>Product ID</x:v>
      </x:c>
      <x:c r="B12" s="7" t="str">
        <x:v>Product</x:v>
      </x:c>
      <x:c r="C12" s="7" t="str">
        <x:v>Supplier</x:v>
      </x:c>
      <x:c r="D12" s="7" t="str">
        <x:v>Stock</x:v>
      </x:c>
      <x:c r="E12" s="7" t="str">
        <x:v>Reorder</x:v>
      </x:c>
      <x:c r="F12" s="7" t="str">
        <x:v>Target</x:v>
      </x:c>
      <x:c r="G12" s="7" t="str">
        <x:v>Policy</x:v>
      </x:c>
      <x:c r="H12" s="7" t="str">
        <x:v>Unit $</x:v>
      </x:c>
      <x:c r="I12" s="7" t="str">
        <x:v>Order units</x:v>
      </x:c>
      <x:c r="J12" s="7" t="str">
        <x:v>Order $</x:v>
      </x:c>
    </x:row>
    <x:row r="13" ht="24" customHeight="1">
      <x:c r="A13" s="2" t="n">
        <x:f>Inputs!A6</x:f>
        <x:v>100</x:v>
      </x:c>
      <x:c r="B13" s="2" t="str">
        <x:f>Inputs!B6</x:f>
        <x:v>Espresso beans</x:v>
      </x:c>
      <x:c r="C13" s="2" t="str">
        <x:f>INDEX(Inputs!$E$17:$E$19,MATCH(Inputs!C6,Inputs!$D$17:$D$19,0))</x:f>
        <x:v>North Roastery</x:v>
      </x:c>
      <x:c r="D13" s="2" t="n">
        <x:f>INDEX(Inputs!$B$17:$B$22,MATCH(A13,Inputs!$A$17:$A$22,0))</x:f>
        <x:v>4</x:v>
      </x:c>
      <x:c r="E13" s="2" t="n">
        <x:f>Inputs!E6</x:f>
        <x:v>8</x:v>
      </x:c>
      <x:c r="F13" s="2" t="n">
        <x:f>Inputs!F6</x:f>
        <x:v>24</x:v>
      </x:c>
      <x:c r="G13" s="13" t="str">
        <x:f>Inputs!G6</x:f>
        <x:v>Active</x:v>
      </x:c>
      <x:c r="H13" s="11" t="n">
        <x:f>Inputs!D6/100</x:f>
        <x:v>9.25</x:v>
      </x:c>
      <x:c r="I13" s="2" t="n">
        <x:f>IF(G13="Paused",0,IF(AND(D13&lt;E13,D13&lt;F13),F13-D13,0))</x:f>
        <x:v>20</x:v>
      </x:c>
      <x:c r="J13" s="12" t="n">
        <x:f>I13*H13</x:f>
        <x:v>185</x:v>
      </x:c>
    </x:row>
    <x:row r="14" ht="24" customHeight="1">
      <x:c r="A14" s="2" t="n">
        <x:f>Inputs!A7</x:f>
        <x:v>101</x:v>
      </x:c>
      <x:c r="B14" s="2" t="str">
        <x:f>Inputs!B7</x:f>
        <x:v>Filter beans</x:v>
      </x:c>
      <x:c r="C14" s="2" t="str">
        <x:f>INDEX(Inputs!$E$17:$E$19,MATCH(Inputs!C7,Inputs!$D$17:$D$19,0))</x:f>
        <x:v>North Roastery</x:v>
      </x:c>
      <x:c r="D14" s="2" t="n">
        <x:f>INDEX(Inputs!$B$17:$B$22,MATCH(A14,Inputs!$A$17:$A$22,0))</x:f>
        <x:v>10</x:v>
      </x:c>
      <x:c r="E14" s="2" t="n">
        <x:f>Inputs!E7</x:f>
        <x:v>8</x:v>
      </x:c>
      <x:c r="F14" s="2" t="n">
        <x:f>Inputs!F7</x:f>
        <x:v>24</x:v>
      </x:c>
      <x:c r="G14" s="13" t="str">
        <x:f>Inputs!G7</x:f>
        <x:v>Active</x:v>
      </x:c>
      <x:c r="H14" s="11" t="n">
        <x:f>Inputs!D7/100</x:f>
        <x:v>7.5</x:v>
      </x:c>
      <x:c r="I14" s="2" t="n">
        <x:f>IF(G14="Paused",0,IF(AND(D14&lt;E14,D14&lt;F14),F14-D14,0))</x:f>
        <x:v>0</x:v>
      </x:c>
      <x:c r="J14" s="12" t="n">
        <x:f>I14*H14</x:f>
        <x:v>0</x:v>
      </x:c>
    </x:row>
    <x:row r="15" ht="24" customHeight="1">
      <x:c r="A15" s="2" t="n">
        <x:f>Inputs!A8</x:f>
        <x:v>102</x:v>
      </x:c>
      <x:c r="B15" s="2" t="str">
        <x:f>Inputs!B8</x:f>
        <x:v>Earl Grey</x:v>
      </x:c>
      <x:c r="C15" s="2" t="str">
        <x:f>INDEX(Inputs!$E$17:$E$19,MATCH(Inputs!C8,Inputs!$D$17:$D$19,0))</x:f>
        <x:v>Leaf House</x:v>
      </x:c>
      <x:c r="D15" s="2" t="n">
        <x:f>INDEX(Inputs!$B$17:$B$22,MATCH(A15,Inputs!$A$17:$A$22,0))</x:f>
        <x:v>2</x:v>
      </x:c>
      <x:c r="E15" s="2" t="n">
        <x:f>Inputs!E8</x:f>
        <x:v>6</x:v>
      </x:c>
      <x:c r="F15" s="2" t="n">
        <x:f>Inputs!F8</x:f>
        <x:v>18</x:v>
      </x:c>
      <x:c r="G15" s="13" t="str">
        <x:f>Inputs!G8</x:f>
        <x:v>Active</x:v>
      </x:c>
      <x:c r="H15" s="11" t="n">
        <x:f>Inputs!D8/100</x:f>
        <x:v>3.1</x:v>
      </x:c>
      <x:c r="I15" s="2" t="n">
        <x:f>IF(G15="Paused",0,IF(AND(D15&lt;E15,D15&lt;F15),F15-D15,0))</x:f>
        <x:v>16</x:v>
      </x:c>
      <x:c r="J15" s="12" t="n">
        <x:f>I15*H15</x:f>
        <x:v>49.6</x:v>
      </x:c>
    </x:row>
    <x:row r="16" ht="24" customHeight="1">
      <x:c r="A16" s="2" t="n">
        <x:f>Inputs!A9</x:f>
        <x:v>103</x:v>
      </x:c>
      <x:c r="B16" s="2" t="str">
        <x:f>Inputs!B9</x:f>
        <x:v>Oat milk</x:v>
      </x:c>
      <x:c r="C16" s="2" t="str">
        <x:f>INDEX(Inputs!$E$17:$E$19,MATCH(Inputs!C9,Inputs!$D$17:$D$19,0))</x:f>
        <x:v>Pantry Co</x:v>
      </x:c>
      <x:c r="D16" s="2" t="n">
        <x:f>INDEX(Inputs!$B$17:$B$22,MATCH(A16,Inputs!$A$17:$A$22,0))</x:f>
        <x:v>5</x:v>
      </x:c>
      <x:c r="E16" s="2" t="n">
        <x:f>Inputs!E9</x:f>
        <x:v>12</x:v>
      </x:c>
      <x:c r="F16" s="2" t="n">
        <x:f>Inputs!F9</x:f>
        <x:v>36</x:v>
      </x:c>
      <x:c r="G16" s="13" t="str">
        <x:f>Inputs!G9</x:f>
        <x:v>Active</x:v>
      </x:c>
      <x:c r="H16" s="11" t="n">
        <x:f>Inputs!D9/100</x:f>
        <x:v>2.5</x:v>
      </x:c>
      <x:c r="I16" s="2" t="n">
        <x:f>IF(G16="Paused",0,IF(AND(D16&lt;E16,D16&lt;F16),F16-D16,0))</x:f>
        <x:v>31</x:v>
      </x:c>
      <x:c r="J16" s="12" t="n">
        <x:f>I16*H16</x:f>
        <x:v>77.5</x:v>
      </x:c>
    </x:row>
    <x:row r="17" ht="24" customHeight="1">
      <x:c r="A17" s="2" t="n">
        <x:f>Inputs!A10</x:f>
        <x:v>104</x:v>
      </x:c>
      <x:c r="B17" s="2" t="str">
        <x:f>Inputs!B10</x:f>
        <x:v>Cocoa</x:v>
      </x:c>
      <x:c r="C17" s="2" t="str">
        <x:f>INDEX(Inputs!$E$17:$E$19,MATCH(Inputs!C10,Inputs!$D$17:$D$19,0))</x:f>
        <x:v>Pantry Co</x:v>
      </x:c>
      <x:c r="D17" s="2" t="n">
        <x:f>INDEX(Inputs!$B$17:$B$22,MATCH(A17,Inputs!$A$17:$A$22,0))</x:f>
        <x:v>8</x:v>
      </x:c>
      <x:c r="E17" s="2" t="n">
        <x:f>Inputs!E10</x:f>
        <x:v>8</x:v>
      </x:c>
      <x:c r="F17" s="2" t="n">
        <x:f>Inputs!F10</x:f>
        <x:v>20</x:v>
      </x:c>
      <x:c r="G17" s="13" t="str">
        <x:f>Inputs!G10</x:f>
        <x:v>Active</x:v>
      </x:c>
      <x:c r="H17" s="11" t="n">
        <x:f>Inputs!D10/100</x:f>
        <x:v>4.8</x:v>
      </x:c>
      <x:c r="I17" s="2" t="n">
        <x:f>IF(G17="Paused",0,IF(AND(D17&lt;E17,D17&lt;F17),F17-D17,0))</x:f>
        <x:v>0</x:v>
      </x:c>
      <x:c r="J17" s="12" t="n">
        <x:f>I17*H17</x:f>
        <x:v>0</x:v>
      </x:c>
    </x:row>
    <x:row r="18" ht="24" customHeight="1">
      <x:c r="A18" s="2" t="n">
        <x:f>Inputs!A11</x:f>
        <x:v>105</x:v>
      </x:c>
      <x:c r="B18" s="2" t="str">
        <x:f>Inputs!B11</x:f>
        <x:v>Decaf beans</x:v>
      </x:c>
      <x:c r="C18" s="2" t="str">
        <x:f>INDEX(Inputs!$E$17:$E$19,MATCH(Inputs!C11,Inputs!$D$17:$D$19,0))</x:f>
        <x:v>North Roastery</x:v>
      </x:c>
      <x:c r="D18" s="2" t="n">
        <x:f>INDEX(Inputs!$B$17:$B$22,MATCH(A18,Inputs!$A$17:$A$22,0))</x:f>
        <x:v>0</x:v>
      </x:c>
      <x:c r="E18" s="2" t="n">
        <x:f>Inputs!E11</x:f>
        <x:v>8</x:v>
      </x:c>
      <x:c r="F18" s="2" t="n">
        <x:f>Inputs!F11</x:f>
        <x:v>24</x:v>
      </x:c>
      <x:c r="G18" s="13" t="str">
        <x:f>Inputs!G11</x:f>
        <x:v>Paused</x:v>
      </x:c>
      <x:c r="H18" s="11" t="n">
        <x:f>Inputs!D11/100</x:f>
        <x:v>11</x:v>
      </x:c>
      <x:c r="I18" s="2" t="n">
        <x:f>IF(G18="Paused",0,IF(AND(D18&lt;E18,D18&lt;F18),F18-D18,0))</x:f>
        <x:v>0</x:v>
      </x:c>
      <x:c r="J18" s="12" t="n">
        <x:f>I18*H18</x:f>
        <x:v>0</x:v>
      </x:c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</x:sheetData>
  <x:mergeCells>
    <x:mergeCell ref="A1:J1"/>
    <x:mergeCell ref="A2:J2"/>
    <x:mergeCell ref="A10:J10"/>
  </x:mergeCells>
  <x:conditionalFormatting sqref="A13:J18">
    <x:cfRule type="expression" dxfId="0" priority="1">
      <x:formula>$I13&gt;0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705190a872456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3" hidden="0" customWidth="1"/>
    <x:col min="3" max="3" width="11" hidden="0" customWidth="1"/>
    <x:col min="4" max="4" width="11" hidden="0" customWidth="1"/>
    <x:col min="5" max="5" width="23" hidden="0" customWidth="1"/>
    <x:col min="6" max="6" width="11" hidden="0" customWidth="1"/>
    <x:col min="7" max="7" width="11" hidden="0" customWidth="1"/>
  </x:cols>
  <x:sheetData>
    <x:row r="1" ht="30" customHeight="1">
      <x:c r="A1" s="3" t="str">
        <x:v>Café inputs</x:v>
      </x:c>
      <x:c r="B1" s="3" t="str">
        <x:v>Café inputs</x:v>
      </x:c>
      <x:c r="C1" s="3" t="str">
        <x:v>Café inputs</x:v>
      </x:c>
      <x:c r="D1" s="3" t="str">
        <x:v>Café inputs</x:v>
      </x:c>
      <x:c r="E1" s="3" t="str">
        <x:v>Café inputs</x:v>
      </x:c>
      <x:c r="F1" s="3" t="str">
        <x:v>Café inputs</x:v>
      </x:c>
      <x:c r="G1" s="3" t="str">
        <x:v>Café inputs</x:v>
      </x:c>
    </x:row>
    <x:row r="2" ht="24" customHeight="1">
      <x:c r="A2" s="4" t="str">
        <x:v>Source: synthetic Workbook.ts inputs, read through the Copeland table CLI.</x:v>
      </x:c>
      <x:c r="B2" s="4"/>
      <x:c r="C2" s="4"/>
      <x:c r="D2" s="4"/>
      <x:c r="E2" s="4"/>
      <x:c r="F2" s="4"/>
      <x:c r="G2" s="4"/>
    </x:row>
    <x:row r="3" ht="24" customHeight="1">
      <x:c r="A3" s="4" t="str">
        <x:v>Keys link the tables. Stock rows deliberately use a different product order.</x:v>
      </x:c>
      <x:c r="B3" s="4"/>
      <x:c r="C3" s="4"/>
      <x:c r="D3" s="4"/>
      <x:c r="E3" s="4"/>
      <x:c r="F3" s="4"/>
      <x:c r="G3" s="4"/>
    </x:row>
    <x:row r="4" ht="24" customHeight="1">
      <x:c r="A4" s="2"/>
      <x:c r="B4" s="2"/>
      <x:c r="C4" s="2"/>
      <x:c r="D4" s="2"/>
      <x:c r="E4" s="2"/>
      <x:c r="F4" s="2"/>
      <x:c r="G4" s="2"/>
    </x:row>
    <x:row r="5" ht="30" customHeight="1">
      <x:c r="A5" s="7" t="str">
        <x:v>Product ID</x:v>
      </x:c>
      <x:c r="B5" s="7" t="str">
        <x:v>Product</x:v>
      </x:c>
      <x:c r="C5" s="7" t="str">
        <x:v>Supplier ID</x:v>
      </x:c>
      <x:c r="D5" s="7" t="str">
        <x:v>Cost cents</x:v>
      </x:c>
      <x:c r="E5" s="7" t="str">
        <x:v>Reorder</x:v>
      </x:c>
      <x:c r="F5" s="7" t="str">
        <x:v>Target</x:v>
      </x:c>
      <x:c r="G5" s="7" t="str">
        <x:v>Policy</x:v>
      </x:c>
    </x:row>
    <x:row r="6" ht="24" customHeight="1">
      <x:c r="A6" s="9" t="n">
        <x:v>100</x:v>
      </x:c>
      <x:c r="B6" s="9" t="str">
        <x:v>Espresso beans</x:v>
      </x:c>
      <x:c r="C6" s="9" t="n">
        <x:v>10</x:v>
      </x:c>
      <x:c r="D6" s="9" t="n">
        <x:v>925</x:v>
      </x:c>
      <x:c r="E6" s="9" t="n">
        <x:v>8</x:v>
      </x:c>
      <x:c r="F6" s="9" t="n">
        <x:v>24</x:v>
      </x:c>
      <x:c r="G6" s="10" t="str">
        <x:v>Active</x:v>
      </x:c>
    </x:row>
    <x:row r="7" ht="24" customHeight="1">
      <x:c r="A7" s="9" t="n">
        <x:v>101</x:v>
      </x:c>
      <x:c r="B7" s="9" t="str">
        <x:v>Filter beans</x:v>
      </x:c>
      <x:c r="C7" s="9" t="n">
        <x:v>10</x:v>
      </x:c>
      <x:c r="D7" s="9" t="n">
        <x:v>750</x:v>
      </x:c>
      <x:c r="E7" s="9" t="n">
        <x:v>8</x:v>
      </x:c>
      <x:c r="F7" s="9" t="n">
        <x:v>24</x:v>
      </x:c>
      <x:c r="G7" s="10" t="str">
        <x:v>Active</x:v>
      </x:c>
    </x:row>
    <x:row r="8" ht="24" customHeight="1">
      <x:c r="A8" s="9" t="n">
        <x:v>102</x:v>
      </x:c>
      <x:c r="B8" s="9" t="str">
        <x:v>Earl Grey</x:v>
      </x:c>
      <x:c r="C8" s="9" t="n">
        <x:v>20</x:v>
      </x:c>
      <x:c r="D8" s="9" t="n">
        <x:v>310</x:v>
      </x:c>
      <x:c r="E8" s="9" t="n">
        <x:v>6</x:v>
      </x:c>
      <x:c r="F8" s="9" t="n">
        <x:v>18</x:v>
      </x:c>
      <x:c r="G8" s="10" t="str">
        <x:v>Active</x:v>
      </x:c>
    </x:row>
    <x:row r="9" ht="24" customHeight="1">
      <x:c r="A9" s="9" t="n">
        <x:v>103</x:v>
      </x:c>
      <x:c r="B9" s="9" t="str">
        <x:v>Oat milk</x:v>
      </x:c>
      <x:c r="C9" s="9" t="n">
        <x:v>30</x:v>
      </x:c>
      <x:c r="D9" s="9" t="n">
        <x:v>250</x:v>
      </x:c>
      <x:c r="E9" s="9" t="n">
        <x:v>12</x:v>
      </x:c>
      <x:c r="F9" s="9" t="n">
        <x:v>36</x:v>
      </x:c>
      <x:c r="G9" s="10" t="str">
        <x:v>Active</x:v>
      </x:c>
    </x:row>
    <x:row r="10" ht="24" customHeight="1">
      <x:c r="A10" s="9" t="n">
        <x:v>104</x:v>
      </x:c>
      <x:c r="B10" s="9" t="str">
        <x:v>Cocoa</x:v>
      </x:c>
      <x:c r="C10" s="9" t="n">
        <x:v>30</x:v>
      </x:c>
      <x:c r="D10" s="9" t="n">
        <x:v>480</x:v>
      </x:c>
      <x:c r="E10" s="9" t="n">
        <x:v>8</x:v>
      </x:c>
      <x:c r="F10" s="9" t="n">
        <x:v>20</x:v>
      </x:c>
      <x:c r="G10" s="10" t="str">
        <x:v>Active</x:v>
      </x:c>
    </x:row>
    <x:row r="11" ht="24" customHeight="1">
      <x:c r="A11" s="9" t="n">
        <x:v>105</x:v>
      </x:c>
      <x:c r="B11" s="9" t="str">
        <x:v>Decaf beans</x:v>
      </x:c>
      <x:c r="C11" s="9" t="n">
        <x:v>10</x:v>
      </x:c>
      <x:c r="D11" s="9" t="n">
        <x:v>1100</x:v>
      </x:c>
      <x:c r="E11" s="9" t="n">
        <x:v>8</x:v>
      </x:c>
      <x:c r="F11" s="9" t="n">
        <x:v>24</x:v>
      </x:c>
      <x:c r="G11" s="10" t="str">
        <x:v>Paused</x:v>
      </x:c>
    </x:row>
    <x:row r="12" ht="24" customHeight="1">
      <x:c r="A12" s="2"/>
      <x:c r="B12" s="2"/>
      <x:c r="C12" s="2"/>
      <x:c r="D12" s="2"/>
      <x:c r="E12" s="2"/>
      <x:c r="F12" s="2"/>
      <x:c r="G12" s="2"/>
    </x:row>
    <x:row r="13" ht="24" customHeight="1">
      <x:c r="A13" s="2"/>
      <x:c r="B13" s="2"/>
      <x:c r="C13" s="2"/>
      <x:c r="D13" s="2"/>
      <x:c r="E13" s="2"/>
      <x:c r="F13" s="2"/>
      <x:c r="G13" s="2"/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24" customHeight="1">
      <x:c r="A15" s="2"/>
      <x:c r="B15" s="2"/>
      <x:c r="C15" s="2"/>
      <x:c r="D15" s="2"/>
      <x:c r="E15" s="2"/>
      <x:c r="F15" s="2"/>
      <x:c r="G15" s="2"/>
    </x:row>
    <x:row r="16" ht="30" customHeight="1">
      <x:c r="A16" s="7" t="str">
        <x:v>Product ID</x:v>
      </x:c>
      <x:c r="B16" s="7" t="str">
        <x:v>On hand</x:v>
      </x:c>
      <x:c r="C16" s="2"/>
      <x:c r="D16" s="7" t="str">
        <x:v>Supplier ID</x:v>
      </x:c>
      <x:c r="E16" s="7" t="str">
        <x:v>Supplier</x:v>
      </x:c>
      <x:c r="F16" s="7" t="str">
        <x:v>Lead days</x:v>
      </x:c>
      <x:c r="G16" s="2"/>
    </x:row>
    <x:row r="17" ht="24" customHeight="1">
      <x:c r="A17" s="9" t="n">
        <x:v>103</x:v>
      </x:c>
      <x:c r="B17" s="9" t="n">
        <x:v>5</x:v>
      </x:c>
      <x:c r="C17" s="2"/>
      <x:c r="D17" s="9" t="n">
        <x:v>10</x:v>
      </x:c>
      <x:c r="E17" s="9" t="str">
        <x:v>North Roastery</x:v>
      </x:c>
      <x:c r="F17" s="9" t="n">
        <x:v>3</x:v>
      </x:c>
      <x:c r="G17" s="2"/>
    </x:row>
    <x:row r="18" ht="24" customHeight="1">
      <x:c r="A18" s="9" t="n">
        <x:v>100</x:v>
      </x:c>
      <x:c r="B18" s="9" t="n">
        <x:v>4</x:v>
      </x:c>
      <x:c r="C18" s="2"/>
      <x:c r="D18" s="9" t="n">
        <x:v>20</x:v>
      </x:c>
      <x:c r="E18" s="9" t="str">
        <x:v>Leaf House</x:v>
      </x:c>
      <x:c r="F18" s="9" t="n">
        <x:v>5</x:v>
      </x:c>
      <x:c r="G18" s="2"/>
    </x:row>
    <x:row r="19" ht="24" customHeight="1">
      <x:c r="A19" s="9" t="n">
        <x:v>105</x:v>
      </x:c>
      <x:c r="B19" s="9" t="n">
        <x:v>0</x:v>
      </x:c>
      <x:c r="C19" s="2"/>
      <x:c r="D19" s="9" t="n">
        <x:v>30</x:v>
      </x:c>
      <x:c r="E19" s="9" t="str">
        <x:v>Pantry Co</x:v>
      </x:c>
      <x:c r="F19" s="9" t="n">
        <x:v>2</x:v>
      </x:c>
      <x:c r="G19" s="2"/>
    </x:row>
    <x:row r="20" ht="24" customHeight="1">
      <x:c r="A20" s="9" t="n">
        <x:v>102</x:v>
      </x:c>
      <x:c r="B20" s="9" t="n">
        <x:v>2</x:v>
      </x:c>
      <x:c r="C20" s="2"/>
      <x:c r="D20" s="2"/>
      <x:c r="E20" s="2"/>
      <x:c r="F20" s="2"/>
      <x:c r="G20" s="2"/>
    </x:row>
    <x:row r="21" ht="24" customHeight="1">
      <x:c r="A21" s="9" t="n">
        <x:v>104</x:v>
      </x:c>
      <x:c r="B21" s="9" t="n">
        <x:v>8</x:v>
      </x:c>
      <x:c r="C21" s="2"/>
      <x:c r="D21" s="2"/>
      <x:c r="E21" s="2"/>
      <x:c r="F21" s="2"/>
      <x:c r="G21" s="2"/>
    </x:row>
    <x:row r="22" ht="24" customHeight="1">
      <x:c r="A22" s="9" t="n">
        <x:v>101</x:v>
      </x:c>
      <x:c r="B22" s="9" t="n">
        <x:v>10</x:v>
      </x:c>
      <x:c r="C22" s="2"/>
      <x:c r="D22" s="2"/>
      <x:c r="E22" s="2"/>
      <x:c r="F22" s="2"/>
      <x:c r="G22" s="2"/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</x:sheetData>
  <x:mergeCells>
    <x:mergeCell ref="A1:G1"/>
    <x:mergeCell ref="A2:G2"/>
    <x:mergeCell ref="A3:G3"/>
  </x:mergeCells>
  <x:dataValidations count="4">
    <x:dataValidation type="whole" operator="between" sqref="A6:A11">
      <x:formula1>1</x:formula1>
      <x:formula2>1000000</x:formula2>
    </x:dataValidation>
    <x:dataValidation type="whole" operator="between" sqref="D6:F11">
      <x:formula1>0</x:formula1>
      <x:formula2>1000000</x:formula2>
    </x:dataValidation>
    <x:dataValidation type="whole" operator="between" sqref="B17:B22">
      <x:formula1>0</x:formula1>
      <x:formula2>1000000</x:formula2>
    </x:dataValidation>
    <x:dataValidation type="list" sqref="G6:G11">
      <x:formula1>"Active,Paused"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82f4e8d8bd2b4170"/>
    <x:tablePart xmlns:r="http://schemas.openxmlformats.org/officeDocument/2006/relationships" r:id="R87bdd9f69a044953"/>
    <x:tablePart xmlns:r="http://schemas.openxmlformats.org/officeDocument/2006/relationships" r:id="R316db51f09fd4b2f"/>
  </x:tableParts>
</x:worksheet>
</file>